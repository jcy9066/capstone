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jcy90\OneDrive\바탕 화면\수업\소프트웨어종합설계\참고자료\"/>
    </mc:Choice>
  </mc:AlternateContent>
  <xr:revisionPtr revIDLastSave="0" documentId="13_ncr:1_{A969EA74-0DCD-46E1-80AB-26283A113D01}" xr6:coauthVersionLast="36" xr6:coauthVersionMax="47" xr10:uidLastSave="{00000000-0000-0000-0000-000000000000}"/>
  <bookViews>
    <workbookView xWindow="-100" yWindow="-100" windowWidth="21800" windowHeight="12980" xr2:uid="{6DC6D7F8-872F-4A11-8A57-D6317DD87495}"/>
  </bookViews>
  <sheets>
    <sheet name="Sheet1" sheetId="1" r:id="rId1"/>
  </sheets>
  <definedNames>
    <definedName name="_xlnm.Print_Area" localSheetId="0">Sheet1!$A$1:$I$23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0" i="1" l="1"/>
  <c r="H8" i="1"/>
  <c r="H4" i="1"/>
  <c r="H5" i="1" l="1"/>
  <c r="H23" i="1" s="1"/>
</calcChain>
</file>

<file path=xl/sharedStrings.xml><?xml version="1.0" encoding="utf-8"?>
<sst xmlns="http://schemas.openxmlformats.org/spreadsheetml/2006/main" count="72" uniqueCount="49">
  <si>
    <t>부품명</t>
  </si>
  <si>
    <t>수량(개)</t>
  </si>
  <si>
    <t>단가</t>
  </si>
  <si>
    <t>총액</t>
  </si>
  <si>
    <t>구매처</t>
    <phoneticPr fontId="2" type="noConversion"/>
  </si>
  <si>
    <t>"Autonomous AI Patrol Bot" 부품 구매 내역서</t>
    <phoneticPr fontId="2" type="noConversion"/>
  </si>
  <si>
    <t>부품명</t>
    <phoneticPr fontId="2" type="noConversion"/>
  </si>
  <si>
    <t>GPS</t>
    <phoneticPr fontId="2" type="noConversion"/>
  </si>
  <si>
    <t>부가세</t>
    <phoneticPr fontId="2" type="noConversion"/>
  </si>
  <si>
    <t>배송비</t>
    <phoneticPr fontId="2" type="noConversion"/>
  </si>
  <si>
    <t>스피커</t>
    <phoneticPr fontId="2" type="noConversion"/>
  </si>
  <si>
    <t>[Seeed] Grove - Speaker Plus [101020853]</t>
    <phoneticPr fontId="2" type="noConversion"/>
  </si>
  <si>
    <t>[SMG] NEO-7M 아두이노 GPS 수신모듈 [SZH-NT07]</t>
    <phoneticPr fontId="2" type="noConversion"/>
  </si>
  <si>
    <t>디바이스마트</t>
    <phoneticPr fontId="2" type="noConversion"/>
  </si>
  <si>
    <t>지브릿지G</t>
    <phoneticPr fontId="2" type="noConversion"/>
  </si>
  <si>
    <t>INJORA 17/52/102/147mm Bright LED Light Bar for 1/10 RC Car</t>
    <phoneticPr fontId="2" type="noConversion"/>
  </si>
  <si>
    <t>13$</t>
    <phoneticPr fontId="2" type="noConversion"/>
  </si>
  <si>
    <t>비고</t>
    <phoneticPr fontId="2" type="noConversion"/>
  </si>
  <si>
    <t>[네오틱스] 18650 BMS 타입 리튬이온 배터리 충전 및 배터리 보호 BMS 모듈 - 3개용 (PN-LBCP-18650-3S)</t>
  </si>
  <si>
    <t>[동우LB퓨즈] AUTO-FUSE 32V 10A</t>
  </si>
  <si>
    <t>[KEYES] 테스트[CH254] 소켓 점퍼 케이블 40P (칼라) (M/F) 20cm</t>
  </si>
  <si>
    <t>모터 엔코더</t>
    <phoneticPr fontId="2" type="noConversion"/>
  </si>
  <si>
    <t>퓨즈</t>
    <phoneticPr fontId="2" type="noConversion"/>
  </si>
  <si>
    <t>케이블</t>
    <phoneticPr fontId="2" type="noConversion"/>
  </si>
  <si>
    <t>LED 조명</t>
    <phoneticPr fontId="2" type="noConversion"/>
  </si>
  <si>
    <t>BMS</t>
    <phoneticPr fontId="2" type="noConversion"/>
  </si>
  <si>
    <t>INJORA</t>
    <phoneticPr fontId="2" type="noConversion"/>
  </si>
  <si>
    <t>102mm / 환율 1,520 기준</t>
    <phoneticPr fontId="2" type="noConversion"/>
  </si>
  <si>
    <t>인코더 브러시 모터 JGB37 520 12V 정방향 역방향 조절 가능 속도 20 1580 휠이 있는 스마트 자동차 키트</t>
    <phoneticPr fontId="2" type="noConversion"/>
  </si>
  <si>
    <t>쿠팡</t>
    <phoneticPr fontId="2" type="noConversion"/>
  </si>
  <si>
    <t>18AWG 실리콘 케이블</t>
    <phoneticPr fontId="2" type="noConversion"/>
  </si>
  <si>
    <t>빨강 1, 검정 1</t>
    <phoneticPr fontId="2" type="noConversion"/>
  </si>
  <si>
    <t>e홈메이드(C-74) 22AWG 2P 실리콘 케이블 5M-1개</t>
  </si>
  <si>
    <t>커넥터</t>
    <phoneticPr fontId="2" type="noConversion"/>
  </si>
  <si>
    <t>[WAGO] 원터치 전선연결 커넥터 221-413 (3핀)</t>
    <phoneticPr fontId="2" type="noConversion"/>
  </si>
  <si>
    <t>[JST] SMR-02V-B</t>
  </si>
  <si>
    <t>[JST] SMP-02V-BC</t>
  </si>
  <si>
    <t>[JST] SMR-04V-B</t>
    <phoneticPr fontId="2" type="noConversion"/>
  </si>
  <si>
    <t>[JST] SMP-04V-BC</t>
  </si>
  <si>
    <t>[DFROBOT] Gravity: MOSFET Power Controller [DFR0457]</t>
  </si>
  <si>
    <t>전원 스위치</t>
    <phoneticPr fontId="2" type="noConversion"/>
  </si>
  <si>
    <t>LED on/off 부속품</t>
    <phoneticPr fontId="2" type="noConversion"/>
  </si>
  <si>
    <r>
      <t xml:space="preserve">[WAGO] </t>
    </r>
    <r>
      <rPr>
        <u/>
        <sz val="11"/>
        <color theme="10"/>
        <rFont val="맑은 고딕"/>
        <family val="3"/>
        <charset val="129"/>
        <scheme val="minor"/>
      </rPr>
      <t>원터치 전선연결 커넥터 221-412 (2핀)</t>
    </r>
  </si>
  <si>
    <t>60rpm 12v / url 복사 후 접속</t>
    <phoneticPr fontId="2" type="noConversion"/>
  </si>
  <si>
    <t>황동 육각 서포트 지지대볼트 M2.5, 6mm(5개), 1개</t>
    <phoneticPr fontId="2" type="noConversion"/>
  </si>
  <si>
    <t>볼트/너트</t>
    <phoneticPr fontId="2" type="noConversion"/>
  </si>
  <si>
    <t>OON 볼트 너트 와샤 나사 10종 세트</t>
  </si>
  <si>
    <t>혹 링크 접속이 안 된다면, 우클릭 하이퍼링크 편집에서 url로 직접 접속 부탁드립니다.</t>
    <phoneticPr fontId="2" type="noConversion"/>
  </si>
  <si>
    <r>
      <t>[NW3 (</t>
    </r>
    <r>
      <rPr>
        <u/>
        <sz val="11"/>
        <color theme="10"/>
        <rFont val="맑은 고딕"/>
        <family val="3"/>
        <charset val="129"/>
        <scheme val="minor"/>
      </rPr>
      <t>중국)] LED 커버 토글 스위치 (빨강)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</si>
</sst>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7" x14ac:knownFonts="1">
    <font>
      <sz val="11"/>
      <color theme="1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6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u/>
      <sz val="11"/>
      <color theme="1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43">
    <xf numFmtId="0" fontId="0" fillId="0" borderId="0" xfId="0">
      <alignment vertical="center"/>
    </xf>
    <xf numFmtId="3" fontId="4" fillId="0" borderId="1" xfId="0" applyNumberFormat="1" applyFont="1" applyBorder="1" applyAlignment="1">
      <alignment horizontal="right" vertical="center" wrapText="1"/>
    </xf>
    <xf numFmtId="0" fontId="4" fillId="0" borderId="1" xfId="0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1" fillId="0" borderId="3" xfId="1" applyFill="1" applyBorder="1">
      <alignment vertical="center"/>
    </xf>
    <xf numFmtId="0" fontId="1" fillId="0" borderId="3" xfId="1" applyFill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3" fontId="4" fillId="0" borderId="1" xfId="0" applyNumberFormat="1" applyFont="1" applyBorder="1" applyAlignment="1">
      <alignment vertical="center" wrapText="1"/>
    </xf>
    <xf numFmtId="0" fontId="4" fillId="0" borderId="1" xfId="0" applyFont="1" applyBorder="1" applyAlignment="1">
      <alignment vertical="center"/>
    </xf>
    <xf numFmtId="0" fontId="0" fillId="0" borderId="0" xfId="0" applyAlignment="1">
      <alignment vertical="center"/>
    </xf>
    <xf numFmtId="0" fontId="4" fillId="0" borderId="1" xfId="0" applyFont="1" applyBorder="1" applyAlignment="1">
      <alignment vertical="center" wrapText="1"/>
    </xf>
    <xf numFmtId="3" fontId="5" fillId="0" borderId="1" xfId="0" applyNumberFormat="1" applyFont="1" applyBorder="1" applyAlignment="1">
      <alignment vertical="center"/>
    </xf>
    <xf numFmtId="3" fontId="4" fillId="0" borderId="1" xfId="0" applyNumberFormat="1" applyFont="1" applyBorder="1" applyAlignment="1">
      <alignment vertical="center"/>
    </xf>
    <xf numFmtId="0" fontId="1" fillId="0" borderId="0" xfId="1" applyAlignment="1">
      <alignment horizontal="left" vertical="center" wrapText="1"/>
    </xf>
    <xf numFmtId="0" fontId="1" fillId="0" borderId="0" xfId="1" applyAlignment="1">
      <alignment vertical="center" wrapText="1"/>
    </xf>
    <xf numFmtId="3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center" vertical="center"/>
    </xf>
    <xf numFmtId="0" fontId="6" fillId="0" borderId="1" xfId="1" applyFont="1" applyFill="1" applyBorder="1">
      <alignment vertical="center"/>
    </xf>
    <xf numFmtId="0" fontId="4" fillId="0" borderId="1" xfId="0" applyFont="1" applyBorder="1" applyAlignment="1">
      <alignment horizontal="center" vertical="center" wrapText="1"/>
    </xf>
    <xf numFmtId="9" fontId="4" fillId="0" borderId="1" xfId="0" applyNumberFormat="1" applyFont="1" applyBorder="1" applyAlignment="1">
      <alignment horizontal="right" vertical="center" wrapText="1"/>
    </xf>
    <xf numFmtId="176" fontId="4" fillId="0" borderId="1" xfId="0" applyNumberFormat="1" applyFont="1" applyBorder="1" applyAlignment="1">
      <alignment horizontal="right" vertical="center" wrapText="1"/>
    </xf>
    <xf numFmtId="9" fontId="4" fillId="0" borderId="1" xfId="0" applyNumberFormat="1" applyFont="1" applyBorder="1" applyAlignment="1">
      <alignment horizontal="right" vertical="center"/>
    </xf>
    <xf numFmtId="14" fontId="4" fillId="0" borderId="2" xfId="0" applyNumberFormat="1" applyFont="1" applyBorder="1" applyAlignment="1">
      <alignment horizontal="center" vertical="center" wrapText="1"/>
    </xf>
    <xf numFmtId="0" fontId="6" fillId="0" borderId="3" xfId="1" applyFont="1" applyBorder="1" applyAlignment="1">
      <alignment vertical="center" wrapText="1"/>
    </xf>
    <xf numFmtId="0" fontId="4" fillId="0" borderId="0" xfId="0" applyFont="1" applyAlignment="1">
      <alignment horizontal="center" vertical="center"/>
    </xf>
    <xf numFmtId="14" fontId="4" fillId="0" borderId="2" xfId="0" applyNumberFormat="1" applyFont="1" applyBorder="1" applyAlignment="1">
      <alignment horizontal="center" vertical="center"/>
    </xf>
    <xf numFmtId="0" fontId="6" fillId="0" borderId="0" xfId="1" applyFont="1" applyAlignment="1">
      <alignment horizontal="left" vertical="center" wrapText="1"/>
    </xf>
    <xf numFmtId="0" fontId="4" fillId="0" borderId="2" xfId="0" applyFont="1" applyBorder="1" applyAlignment="1">
      <alignment horizontal="center" vertical="center"/>
    </xf>
    <xf numFmtId="176" fontId="4" fillId="0" borderId="1" xfId="0" applyNumberFormat="1" applyFont="1" applyBorder="1" applyAlignment="1">
      <alignment horizontal="right" vertical="center"/>
    </xf>
    <xf numFmtId="0" fontId="6" fillId="0" borderId="0" xfId="1" applyFont="1">
      <alignment vertical="center"/>
    </xf>
    <xf numFmtId="0" fontId="4" fillId="0" borderId="1" xfId="0" applyFont="1" applyBorder="1" applyAlignment="1">
      <alignment horizontal="center" vertical="center"/>
    </xf>
    <xf numFmtId="3" fontId="4" fillId="3" borderId="1" xfId="0" applyNumberFormat="1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right" vertical="center" wrapText="1"/>
    </xf>
    <xf numFmtId="3" fontId="5" fillId="0" borderId="1" xfId="0" applyNumberFormat="1" applyFont="1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coupang.com/vp/products/8056550563?itemId=22616496678&amp;vendorItemId=89658030790&amp;q=AWG22&amp;searchId=a49a73c834148443&amp;sourceType=search&amp;itemsCount=36&amp;searchRank=2&amp;rank=2&amp;traceId=mpmdm7sx" TargetMode="External"/><Relationship Id="rId13" Type="http://schemas.openxmlformats.org/officeDocument/2006/relationships/hyperlink" Target="https://www.devicemart.co.kr/goods/view?no=1089535" TargetMode="External"/><Relationship Id="rId18" Type="http://schemas.openxmlformats.org/officeDocument/2006/relationships/hyperlink" Target="https://www.coupang.com/vp/products/8528554021?itemId=24237490261&amp;vendorItemId=91254582910&amp;q=%ED%99%A9%EB%8F%99+%EC%9C%A1%EA%B0%81+%EC%84%9C%ED%8F%AC%ED%8A%B8+%EC%A7%80%EC%A7%80%EB%8C%80%EB%B3%BC%ED%8A%B8+M2.5%2C+6mm%285%EA%B0%9C%29&amp;searchId=d403021a10165686&amp;sourceType=search&amp;itemsCount=60&amp;searchRank=2&amp;rank=2&amp;traceId=mpmer0l4" TargetMode="External"/><Relationship Id="rId3" Type="http://schemas.openxmlformats.org/officeDocument/2006/relationships/hyperlink" Target="https://www.devicemart.co.kr/goods/view?no=1321195" TargetMode="External"/><Relationship Id="rId7" Type="http://schemas.openxmlformats.org/officeDocument/2006/relationships/hyperlink" Target="https://www.injora.com/products/17-52-102-147mm-bright-led-light-bar-for-1-10-rc-car?_pos=1&amp;_sid=ef7cb6333&amp;_ss=r&amp;variant=39449034850352" TargetMode="External"/><Relationship Id="rId12" Type="http://schemas.openxmlformats.org/officeDocument/2006/relationships/hyperlink" Target="https://www.devicemart.co.kr/goods/view?no=1089542" TargetMode="External"/><Relationship Id="rId17" Type="http://schemas.openxmlformats.org/officeDocument/2006/relationships/hyperlink" Target="https://www.coupang.com/vp/products/9124212488?itemId=26841216511&amp;vendorItemId=93811129913&amp;sourceType=srp_product_ads&amp;clickEventId=d4ba6420-58eb-11f1-8661-6a6700ef2c97&amp;korePlacement=15&amp;koreSubPlacement=6&amp;clickEventId=d4ba6420-58eb-11f1-8661-6a6700ef2c97&amp;korePlacement=15&amp;koreSubPlacement=6&amp;traceId=mpmhc7cr" TargetMode="External"/><Relationship Id="rId2" Type="http://schemas.openxmlformats.org/officeDocument/2006/relationships/hyperlink" Target="https://www.devicemart.co.kr/goods/view?no=10895400" TargetMode="External"/><Relationship Id="rId16" Type="http://schemas.openxmlformats.org/officeDocument/2006/relationships/hyperlink" Target="https://www.coupang.com/vp/products/8264903762?itemId=23813551998&amp;vendorItemId=90837339900&amp;sourceType=srp_product_ads&amp;clickEventId=7cdb1580-58df-11f1-ad91-b8b5f650059a&amp;korePlacement=15&amp;koreSubPlacement=1&amp;clickEventId=7cdb1580-58df-11f1-ad91-b8b5f650059a&amp;korePlacement=15&amp;koreSubPlacement=1&amp;traceId=mpme6cm4" TargetMode="External"/><Relationship Id="rId20" Type="http://schemas.openxmlformats.org/officeDocument/2006/relationships/printerSettings" Target="../printerSettings/printerSettings1.bin"/><Relationship Id="rId1" Type="http://schemas.openxmlformats.org/officeDocument/2006/relationships/hyperlink" Target="https://www.devicemart.co.kr/goods/view?no=12709820" TargetMode="External"/><Relationship Id="rId6" Type="http://schemas.openxmlformats.org/officeDocument/2006/relationships/hyperlink" Target="https://smartstore.naver.com/bridgeg/products/13110900386?nl-query=%EC%95%84%EB%91%90%EC%9D%B4%EB%85%B8+RC%EC%B9%B4+%EB%B0%94%ED%80%B4%ED%9C%A0+65mm+%2B+JGB37-520+%EC%9D%B8%EC%BD%94%EB%8D%94+12V100RPM+DC+%EB%AA%A8%ED%84%B0" TargetMode="External"/><Relationship Id="rId11" Type="http://schemas.openxmlformats.org/officeDocument/2006/relationships/hyperlink" Target="https://www.devicemart.co.kr/goods/view?no=10827022" TargetMode="External"/><Relationship Id="rId5" Type="http://schemas.openxmlformats.org/officeDocument/2006/relationships/hyperlink" Target="https://www.devicemart.co.kr/goods/view?no=11510" TargetMode="External"/><Relationship Id="rId15" Type="http://schemas.openxmlformats.org/officeDocument/2006/relationships/hyperlink" Target="https://www.devicemart.co.kr/goods/view?no=1089537" TargetMode="External"/><Relationship Id="rId10" Type="http://schemas.openxmlformats.org/officeDocument/2006/relationships/hyperlink" Target="https://www.devicemart.co.kr/goods/view?no=10827021" TargetMode="External"/><Relationship Id="rId19" Type="http://schemas.openxmlformats.org/officeDocument/2006/relationships/hyperlink" Target="https://www.devicemart.co.kr/goods/view?no=1325078&amp;srsltid=AfmBOornRq18g0Yd0QFbwvlkrBNDAUPBxSSFWSPEUxauQNaQIOZOuDKv" TargetMode="External"/><Relationship Id="rId4" Type="http://schemas.openxmlformats.org/officeDocument/2006/relationships/hyperlink" Target="https://www.devicemart.co.kr/goods/view?no=14565243" TargetMode="External"/><Relationship Id="rId9" Type="http://schemas.openxmlformats.org/officeDocument/2006/relationships/hyperlink" Target="https://www.devicemart.co.kr/goods/view?no=1328149" TargetMode="External"/><Relationship Id="rId14" Type="http://schemas.openxmlformats.org/officeDocument/2006/relationships/hyperlink" Target="https://www.devicemart.co.kr/goods/view?no=108954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4E2FF-2F77-45F6-9449-0EE0A9EC8FD3}">
  <dimension ref="A1:I23"/>
  <sheetViews>
    <sheetView tabSelected="1" zoomScale="145" zoomScaleNormal="145" workbookViewId="0">
      <selection activeCell="E24" sqref="E23:E24"/>
    </sheetView>
  </sheetViews>
  <sheetFormatPr defaultRowHeight="17" x14ac:dyDescent="0.45"/>
  <cols>
    <col min="1" max="1" width="18.25" customWidth="1"/>
    <col min="2" max="2" width="72.25" customWidth="1"/>
    <col min="4" max="4" width="8.6640625" style="38"/>
    <col min="5" max="5" width="37.5" style="9" customWidth="1"/>
    <col min="6" max="7" width="8.6640625" style="38"/>
    <col min="8" max="8" width="9" customWidth="1"/>
    <col min="9" max="9" width="16.4140625" customWidth="1"/>
  </cols>
  <sheetData>
    <row r="1" spans="1:9" ht="38" customHeight="1" x14ac:dyDescent="0.45">
      <c r="A1" s="6" t="s">
        <v>5</v>
      </c>
      <c r="B1" s="6"/>
      <c r="C1" s="6"/>
      <c r="D1" s="6"/>
      <c r="E1" s="6"/>
      <c r="F1" s="6"/>
      <c r="G1" s="6"/>
      <c r="H1" s="6"/>
      <c r="I1" s="6"/>
    </row>
    <row r="2" spans="1:9" ht="15" customHeight="1" x14ac:dyDescent="0.45">
      <c r="A2" s="40" t="s">
        <v>47</v>
      </c>
      <c r="B2" s="41"/>
      <c r="C2" s="41"/>
      <c r="D2" s="41"/>
      <c r="E2" s="41"/>
      <c r="F2" s="41"/>
      <c r="G2" s="41"/>
      <c r="H2" s="41"/>
      <c r="I2" s="42"/>
    </row>
    <row r="3" spans="1:9" ht="16.899999999999999" customHeight="1" x14ac:dyDescent="0.45">
      <c r="A3" s="17" t="s">
        <v>6</v>
      </c>
      <c r="B3" s="18" t="s">
        <v>0</v>
      </c>
      <c r="C3" s="19" t="s">
        <v>1</v>
      </c>
      <c r="D3" s="36" t="s">
        <v>2</v>
      </c>
      <c r="E3" s="19" t="s">
        <v>17</v>
      </c>
      <c r="F3" s="36" t="s">
        <v>8</v>
      </c>
      <c r="G3" s="36" t="s">
        <v>9</v>
      </c>
      <c r="H3" s="19" t="s">
        <v>3</v>
      </c>
      <c r="I3" s="19" t="s">
        <v>4</v>
      </c>
    </row>
    <row r="4" spans="1:9" x14ac:dyDescent="0.45">
      <c r="A4" s="20" t="s">
        <v>10</v>
      </c>
      <c r="B4" s="21" t="s">
        <v>11</v>
      </c>
      <c r="C4" s="22">
        <v>1</v>
      </c>
      <c r="D4" s="1">
        <v>14900</v>
      </c>
      <c r="E4" s="7"/>
      <c r="F4" s="23">
        <v>0.1</v>
      </c>
      <c r="G4" s="39"/>
      <c r="H4" s="24">
        <f>C4*D4+(D4*F4)</f>
        <v>16390</v>
      </c>
      <c r="I4" s="15" t="s">
        <v>13</v>
      </c>
    </row>
    <row r="5" spans="1:9" ht="16.899999999999999" customHeight="1" x14ac:dyDescent="0.45">
      <c r="A5" s="20" t="s">
        <v>7</v>
      </c>
      <c r="B5" s="21" t="s">
        <v>12</v>
      </c>
      <c r="C5" s="16">
        <v>1</v>
      </c>
      <c r="D5" s="2">
        <v>8600</v>
      </c>
      <c r="E5" s="8"/>
      <c r="F5" s="25">
        <v>0.1</v>
      </c>
      <c r="G5" s="39"/>
      <c r="H5" s="24">
        <f t="shared" ref="H5" si="0">C5*D5+(D5*F5)</f>
        <v>9460</v>
      </c>
      <c r="I5" s="15" t="s">
        <v>13</v>
      </c>
    </row>
    <row r="6" spans="1:9" ht="16.899999999999999" customHeight="1" x14ac:dyDescent="0.45">
      <c r="A6" s="26" t="s">
        <v>21</v>
      </c>
      <c r="B6" s="27" t="s">
        <v>28</v>
      </c>
      <c r="C6" s="22">
        <v>4</v>
      </c>
      <c r="D6" s="1">
        <v>25230</v>
      </c>
      <c r="E6" s="28" t="s">
        <v>43</v>
      </c>
      <c r="F6" s="23"/>
      <c r="G6" s="24"/>
      <c r="H6" s="1">
        <v>100920</v>
      </c>
      <c r="I6" s="16" t="s">
        <v>14</v>
      </c>
    </row>
    <row r="7" spans="1:9" ht="16.899999999999999" customHeight="1" x14ac:dyDescent="0.45">
      <c r="A7" s="26" t="s">
        <v>24</v>
      </c>
      <c r="B7" s="27" t="s">
        <v>15</v>
      </c>
      <c r="C7" s="22">
        <v>1</v>
      </c>
      <c r="D7" s="1" t="s">
        <v>16</v>
      </c>
      <c r="E7" s="15" t="s">
        <v>27</v>
      </c>
      <c r="F7" s="23"/>
      <c r="G7" s="24"/>
      <c r="H7" s="1">
        <v>19760</v>
      </c>
      <c r="I7" s="22" t="s">
        <v>26</v>
      </c>
    </row>
    <row r="8" spans="1:9" ht="16.899999999999999" customHeight="1" x14ac:dyDescent="0.45">
      <c r="A8" s="29" t="s">
        <v>25</v>
      </c>
      <c r="B8" s="30" t="s">
        <v>18</v>
      </c>
      <c r="C8" s="22">
        <v>1</v>
      </c>
      <c r="D8" s="1">
        <v>7000</v>
      </c>
      <c r="E8" s="10"/>
      <c r="F8" s="23">
        <v>0.1</v>
      </c>
      <c r="G8" s="24"/>
      <c r="H8" s="1">
        <f>C8*D8+(D8*F8)</f>
        <v>7700</v>
      </c>
      <c r="I8" s="22" t="s">
        <v>13</v>
      </c>
    </row>
    <row r="9" spans="1:9" ht="16.899999999999999" customHeight="1" x14ac:dyDescent="0.45">
      <c r="A9" s="31" t="s">
        <v>22</v>
      </c>
      <c r="B9" s="30" t="s">
        <v>19</v>
      </c>
      <c r="C9" s="16">
        <v>10</v>
      </c>
      <c r="D9" s="2">
        <v>100</v>
      </c>
      <c r="E9" s="8"/>
      <c r="F9" s="25">
        <v>0.1</v>
      </c>
      <c r="G9" s="32"/>
      <c r="H9" s="1">
        <v>1100</v>
      </c>
      <c r="I9" s="22" t="s">
        <v>13</v>
      </c>
    </row>
    <row r="10" spans="1:9" ht="16.899999999999999" customHeight="1" x14ac:dyDescent="0.45">
      <c r="A10" s="31" t="s">
        <v>23</v>
      </c>
      <c r="B10" s="33" t="s">
        <v>20</v>
      </c>
      <c r="C10" s="16">
        <v>1</v>
      </c>
      <c r="D10" s="2">
        <v>850</v>
      </c>
      <c r="E10" s="8"/>
      <c r="F10" s="25">
        <v>0.1</v>
      </c>
      <c r="G10" s="32"/>
      <c r="H10" s="1">
        <f t="shared" ref="H10" si="1">C10*D10+(D10*F10)</f>
        <v>935</v>
      </c>
      <c r="I10" s="16" t="s">
        <v>13</v>
      </c>
    </row>
    <row r="11" spans="1:9" ht="16.899999999999999" customHeight="1" x14ac:dyDescent="0.45">
      <c r="A11" s="31" t="s">
        <v>23</v>
      </c>
      <c r="B11" s="4" t="s">
        <v>30</v>
      </c>
      <c r="C11" s="16">
        <v>2</v>
      </c>
      <c r="D11" s="2">
        <v>450</v>
      </c>
      <c r="E11" s="16" t="s">
        <v>31</v>
      </c>
      <c r="F11" s="25"/>
      <c r="G11" s="32">
        <v>3500</v>
      </c>
      <c r="H11" s="1">
        <v>4400</v>
      </c>
      <c r="I11" s="16" t="s">
        <v>29</v>
      </c>
    </row>
    <row r="12" spans="1:9" ht="16.899999999999999" customHeight="1" x14ac:dyDescent="0.45">
      <c r="A12" s="29" t="s">
        <v>23</v>
      </c>
      <c r="B12" s="14" t="s">
        <v>32</v>
      </c>
      <c r="C12" s="22">
        <v>1</v>
      </c>
      <c r="D12" s="1">
        <v>3540</v>
      </c>
      <c r="E12" s="7"/>
      <c r="F12" s="23"/>
      <c r="G12" s="32">
        <v>3000</v>
      </c>
      <c r="H12" s="1">
        <v>6540</v>
      </c>
      <c r="I12" s="22" t="s">
        <v>29</v>
      </c>
    </row>
    <row r="13" spans="1:9" ht="16.899999999999999" customHeight="1" x14ac:dyDescent="0.45">
      <c r="A13" s="29" t="s">
        <v>33</v>
      </c>
      <c r="B13" s="13" t="s">
        <v>42</v>
      </c>
      <c r="C13" s="22">
        <v>5</v>
      </c>
      <c r="D13" s="1">
        <v>420</v>
      </c>
      <c r="E13" s="7"/>
      <c r="F13" s="23">
        <v>0.1</v>
      </c>
      <c r="G13" s="24"/>
      <c r="H13" s="1">
        <v>2310</v>
      </c>
      <c r="I13" s="22" t="s">
        <v>13</v>
      </c>
    </row>
    <row r="14" spans="1:9" ht="16.899999999999999" customHeight="1" x14ac:dyDescent="0.45">
      <c r="A14" s="26" t="s">
        <v>33</v>
      </c>
      <c r="B14" s="5" t="s">
        <v>34</v>
      </c>
      <c r="C14" s="22">
        <v>5</v>
      </c>
      <c r="D14" s="37">
        <v>510</v>
      </c>
      <c r="E14" s="11"/>
      <c r="F14" s="23">
        <v>0.1</v>
      </c>
      <c r="G14" s="24"/>
      <c r="H14" s="1">
        <v>2805</v>
      </c>
      <c r="I14" s="22" t="s">
        <v>13</v>
      </c>
    </row>
    <row r="15" spans="1:9" ht="16.899999999999999" customHeight="1" x14ac:dyDescent="0.45">
      <c r="A15" s="26" t="s">
        <v>41</v>
      </c>
      <c r="B15" s="13" t="s">
        <v>39</v>
      </c>
      <c r="C15" s="22">
        <v>1</v>
      </c>
      <c r="D15" s="37">
        <v>5000</v>
      </c>
      <c r="E15" s="11"/>
      <c r="F15" s="23">
        <v>0.1</v>
      </c>
      <c r="G15" s="24"/>
      <c r="H15" s="1">
        <v>5500</v>
      </c>
      <c r="I15" s="22" t="s">
        <v>13</v>
      </c>
    </row>
    <row r="16" spans="1:9" ht="16.899999999999999" customHeight="1" x14ac:dyDescent="0.45">
      <c r="A16" s="26" t="s">
        <v>33</v>
      </c>
      <c r="B16" s="13" t="s">
        <v>35</v>
      </c>
      <c r="C16" s="22">
        <v>10</v>
      </c>
      <c r="D16" s="37">
        <v>100</v>
      </c>
      <c r="E16" s="11"/>
      <c r="F16" s="23">
        <v>0.1</v>
      </c>
      <c r="G16" s="24"/>
      <c r="H16" s="1">
        <v>1100</v>
      </c>
      <c r="I16" s="22" t="s">
        <v>13</v>
      </c>
    </row>
    <row r="17" spans="1:9" ht="16.899999999999999" customHeight="1" x14ac:dyDescent="0.45">
      <c r="A17" s="26" t="s">
        <v>33</v>
      </c>
      <c r="B17" s="13" t="s">
        <v>36</v>
      </c>
      <c r="C17" s="22">
        <v>10</v>
      </c>
      <c r="D17" s="37">
        <v>70</v>
      </c>
      <c r="E17" s="11"/>
      <c r="F17" s="23">
        <v>0.1</v>
      </c>
      <c r="G17" s="24"/>
      <c r="H17" s="1">
        <v>770</v>
      </c>
      <c r="I17" s="22" t="s">
        <v>13</v>
      </c>
    </row>
    <row r="18" spans="1:9" ht="16.899999999999999" customHeight="1" x14ac:dyDescent="0.45">
      <c r="A18" s="26" t="s">
        <v>33</v>
      </c>
      <c r="B18" s="13" t="s">
        <v>37</v>
      </c>
      <c r="C18" s="22">
        <v>10</v>
      </c>
      <c r="D18" s="37">
        <v>120</v>
      </c>
      <c r="E18" s="11"/>
      <c r="F18" s="23">
        <v>0.1</v>
      </c>
      <c r="G18" s="24"/>
      <c r="H18" s="1">
        <v>1200</v>
      </c>
      <c r="I18" s="22" t="s">
        <v>13</v>
      </c>
    </row>
    <row r="19" spans="1:9" ht="16.899999999999999" customHeight="1" x14ac:dyDescent="0.45">
      <c r="A19" s="26" t="s">
        <v>33</v>
      </c>
      <c r="B19" s="13" t="s">
        <v>38</v>
      </c>
      <c r="C19" s="22">
        <v>10</v>
      </c>
      <c r="D19" s="37">
        <v>140</v>
      </c>
      <c r="E19" s="11"/>
      <c r="F19" s="23">
        <v>0.1</v>
      </c>
      <c r="G19" s="24"/>
      <c r="H19" s="1">
        <v>1540</v>
      </c>
      <c r="I19" s="22" t="s">
        <v>13</v>
      </c>
    </row>
    <row r="20" spans="1:9" ht="16.899999999999999" customHeight="1" x14ac:dyDescent="0.45">
      <c r="A20" s="26" t="s">
        <v>40</v>
      </c>
      <c r="B20" s="13" t="s">
        <v>48</v>
      </c>
      <c r="C20" s="22">
        <v>1</v>
      </c>
      <c r="D20" s="37">
        <v>3300</v>
      </c>
      <c r="E20" s="11"/>
      <c r="F20" s="23">
        <v>0.1</v>
      </c>
      <c r="G20" s="24"/>
      <c r="H20" s="1">
        <v>3630</v>
      </c>
      <c r="I20" s="22" t="s">
        <v>13</v>
      </c>
    </row>
    <row r="21" spans="1:9" ht="16.899999999999999" customHeight="1" x14ac:dyDescent="0.45">
      <c r="A21" s="26" t="s">
        <v>45</v>
      </c>
      <c r="B21" s="13" t="s">
        <v>44</v>
      </c>
      <c r="C21" s="22">
        <v>1</v>
      </c>
      <c r="D21" s="37">
        <v>3000</v>
      </c>
      <c r="E21" s="11"/>
      <c r="F21" s="23"/>
      <c r="G21" s="24">
        <v>3500</v>
      </c>
      <c r="H21" s="1">
        <v>6500</v>
      </c>
      <c r="I21" s="22" t="s">
        <v>29</v>
      </c>
    </row>
    <row r="22" spans="1:9" ht="16.899999999999999" customHeight="1" x14ac:dyDescent="0.45">
      <c r="A22" s="26" t="s">
        <v>45</v>
      </c>
      <c r="B22" s="14" t="s">
        <v>46</v>
      </c>
      <c r="C22" s="22">
        <v>1</v>
      </c>
      <c r="D22" s="37">
        <v>5900</v>
      </c>
      <c r="E22" s="11"/>
      <c r="F22" s="23"/>
      <c r="G22" s="24"/>
      <c r="H22" s="1">
        <v>5900</v>
      </c>
      <c r="I22" s="22" t="s">
        <v>29</v>
      </c>
    </row>
    <row r="23" spans="1:9" ht="16" customHeight="1" x14ac:dyDescent="0.45">
      <c r="A23" s="34"/>
      <c r="B23" s="34"/>
      <c r="C23" s="16"/>
      <c r="D23" s="3"/>
      <c r="E23" s="12"/>
      <c r="F23" s="3"/>
      <c r="G23" s="3"/>
      <c r="H23" s="35">
        <f>SUM(H4:H22)</f>
        <v>198460</v>
      </c>
      <c r="I23" s="16"/>
    </row>
  </sheetData>
  <mergeCells count="3">
    <mergeCell ref="A23:B23"/>
    <mergeCell ref="A1:I1"/>
    <mergeCell ref="A2:I2"/>
  </mergeCells>
  <phoneticPr fontId="2" type="noConversion"/>
  <hyperlinks>
    <hyperlink ref="B4" r:id="rId1" xr:uid="{AA4890B7-C608-48A1-937E-0CE06D56F9BB}"/>
    <hyperlink ref="B5" r:id="rId2" xr:uid="{D030E844-69BD-4C92-83C8-35095D6C889A}"/>
    <hyperlink ref="B10" r:id="rId3" xr:uid="{857EF6D5-1B4F-469A-8DA5-6B8E94AB49F5}"/>
    <hyperlink ref="B8" r:id="rId4" xr:uid="{D8D001C5-3A54-4710-9715-36D371CE2497}"/>
    <hyperlink ref="B9" r:id="rId5" xr:uid="{43645A65-53DA-4157-A93E-E6607D3714A9}"/>
    <hyperlink ref="B6" r:id="rId6" location="ZOOM" xr:uid="{B80343AF-60BC-4273-8EA0-41060591E228}"/>
    <hyperlink ref="B7" r:id="rId7" xr:uid="{F7657030-A8B2-49B5-8298-57C9EEDEFA92}"/>
    <hyperlink ref="B12" r:id="rId8" xr:uid="{8394C04C-27A2-4D71-B8DA-1A5A081961E0}"/>
    <hyperlink ref="B15" r:id="rId9" xr:uid="{BECA4269-78BF-417E-8B39-22033A6BDE38}"/>
    <hyperlink ref="B13" r:id="rId10" xr:uid="{B36DD339-A781-4C4C-A8B7-E8CB4567B0D3}"/>
    <hyperlink ref="B14" r:id="rId11" xr:uid="{097278FA-AC88-4760-B4BF-8144E3EB32F8}"/>
    <hyperlink ref="B16" r:id="rId12" xr:uid="{E018550F-E14C-4CA8-ABC0-4E22D914662E}"/>
    <hyperlink ref="B17" r:id="rId13" xr:uid="{391362D5-854F-4843-9847-38334B04DFF1}"/>
    <hyperlink ref="B18" r:id="rId14" xr:uid="{2B39E155-7D87-4F1D-86A2-EAD5290A8626}"/>
    <hyperlink ref="B19" r:id="rId15" xr:uid="{2F99FAB8-47FD-4490-A566-E5B4A451D9B7}"/>
    <hyperlink ref="B11" r:id="rId16" xr:uid="{2B2E0102-500B-45D8-B48E-2A4C58FBC646}"/>
    <hyperlink ref="B22" r:id="rId17" xr:uid="{05C6F296-D29C-4715-891E-E23C7FFAE66E}"/>
    <hyperlink ref="B21" r:id="rId18" xr:uid="{0FD875A8-CBD1-4A35-982B-FF0C80D7C497}"/>
    <hyperlink ref="B20" r:id="rId19" xr:uid="{7C2C058A-3C35-4E4F-A975-AAEE0EE22823}"/>
  </hyperlinks>
  <pageMargins left="0.7" right="0.7" top="0.75" bottom="0.75" header="0.3" footer="0.3"/>
  <pageSetup paperSize="8" orientation="landscape" r:id="rId2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준영 박</dc:creator>
  <cp:lastModifiedBy>정창완</cp:lastModifiedBy>
  <cp:lastPrinted>2026-03-18T08:37:18Z</cp:lastPrinted>
  <dcterms:created xsi:type="dcterms:W3CDTF">2026-03-14T08:24:42Z</dcterms:created>
  <dcterms:modified xsi:type="dcterms:W3CDTF">2026-05-26T10:27:26Z</dcterms:modified>
</cp:coreProperties>
</file>