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cy90\OneDrive\바탕 화면\소프트웨어종합설계\"/>
    </mc:Choice>
  </mc:AlternateContent>
  <xr:revisionPtr revIDLastSave="0" documentId="13_ncr:1_{AAEFC10B-DD36-46E7-8439-6030969E2828}" xr6:coauthVersionLast="36" xr6:coauthVersionMax="47" xr10:uidLastSave="{00000000-0000-0000-0000-000000000000}"/>
  <bookViews>
    <workbookView xWindow="-20610" yWindow="10110" windowWidth="20730" windowHeight="11040" xr2:uid="{6DC6D7F8-872F-4A11-8A57-D6317DD87495}"/>
  </bookViews>
  <sheets>
    <sheet name="Sheet1" sheetId="1" r:id="rId1"/>
  </sheets>
  <definedNames>
    <definedName name="_xlnm.Print_Area" localSheetId="0">Sheet1!$A$1:$J$16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3" i="1"/>
  <c r="I16" i="1" l="1"/>
  <c r="F16" i="1"/>
</calcChain>
</file>

<file path=xl/sharedStrings.xml><?xml version="1.0" encoding="utf-8"?>
<sst xmlns="http://schemas.openxmlformats.org/spreadsheetml/2006/main" count="64" uniqueCount="54">
  <si>
    <t>부품명</t>
  </si>
  <si>
    <t>수량(개)</t>
  </si>
  <si>
    <t>단가</t>
  </si>
  <si>
    <t>총액</t>
  </si>
  <si>
    <t>슬램텍 RPLIDAR A1M8-R6 360도 거리측정 라이다 센서 - 12m</t>
  </si>
  <si>
    <t>구매처</t>
    <phoneticPr fontId="2" type="noConversion"/>
  </si>
  <si>
    <t>디바이스마트</t>
    <phoneticPr fontId="2" type="noConversion"/>
  </si>
  <si>
    <t>디바이스마트</t>
  </si>
  <si>
    <t>18650 리튬이온 건전지 2개입</t>
  </si>
  <si>
    <t>부품명</t>
    <phoneticPr fontId="2" type="noConversion"/>
  </si>
  <si>
    <t>[OEM] 18650x1 리튬이온 배터리 홀더 [SZH-BH009]</t>
    <phoneticPr fontId="2" type="noConversion"/>
  </si>
  <si>
    <t>[SMG] 라즈베리파이 5MP IR-CUT 카메라 모듈 [TYE-RPC06]</t>
    <phoneticPr fontId="2" type="noConversion"/>
  </si>
  <si>
    <t>[SMG-A] FND 전압표시 XL4015 강하형 DC-DC 5A 가변 컨버터 [SZH-PWSDF-036]</t>
    <phoneticPr fontId="2" type="noConversion"/>
  </si>
  <si>
    <t>쿠팡</t>
    <phoneticPr fontId="2" type="noConversion"/>
  </si>
  <si>
    <t>캥거 리튬이온 배터리 충전기 2구 DEL37N2</t>
  </si>
  <si>
    <t>부가세</t>
    <phoneticPr fontId="2" type="noConversion"/>
  </si>
  <si>
    <t>배송비</t>
    <phoneticPr fontId="2" type="noConversion"/>
  </si>
  <si>
    <t>카메라</t>
    <phoneticPr fontId="2" type="noConversion"/>
  </si>
  <si>
    <t>라이다12m</t>
    <phoneticPr fontId="2" type="noConversion"/>
  </si>
  <si>
    <t>강압컨버터</t>
    <phoneticPr fontId="2" type="noConversion"/>
  </si>
  <si>
    <t>배터리</t>
    <phoneticPr fontId="2" type="noConversion"/>
  </si>
  <si>
    <t>배터리 홀더</t>
    <phoneticPr fontId="2" type="noConversion"/>
  </si>
  <si>
    <t>배터리충전기</t>
    <phoneticPr fontId="2" type="noConversion"/>
  </si>
  <si>
    <t>마이크</t>
    <phoneticPr fontId="2" type="noConversion"/>
  </si>
  <si>
    <t>IMU</t>
    <phoneticPr fontId="2" type="noConversion"/>
  </si>
  <si>
    <t>[DFROBOT] BNO055 지능형 9축 센서 모듈 [SEN0374]</t>
    <phoneticPr fontId="2" type="noConversion"/>
  </si>
  <si>
    <t>USB C타입 제작용 케이블 2선 Type-C Male DIY PD 전원 플러그 숫 컨넥터</t>
  </si>
  <si>
    <t>컨버터-c타입 케이블</t>
    <phoneticPr fontId="2" type="noConversion"/>
  </si>
  <si>
    <t>주닉스 유선 USB 핀마이크</t>
  </si>
  <si>
    <t>용도</t>
    <phoneticPr fontId="2" type="noConversion"/>
  </si>
  <si>
    <t>주야간 영상 탐지용</t>
  </si>
  <si>
    <t>배터리 장착용</t>
  </si>
  <si>
    <t>이동형 전원공급용</t>
  </si>
  <si>
    <t>전원 연결용</t>
  </si>
  <si>
    <t>자세·방향 인식용</t>
  </si>
  <si>
    <t>현장 음성 수집용</t>
  </si>
  <si>
    <t>배터리 충전관리용</t>
    <phoneticPr fontId="2" type="noConversion"/>
  </si>
  <si>
    <t>전압 안정화용</t>
    <phoneticPr fontId="2" type="noConversion"/>
  </si>
  <si>
    <t>자율주행 지형탐지/거리인식용</t>
    <phoneticPr fontId="2" type="noConversion"/>
  </si>
  <si>
    <t xml:space="preserve">피코W </t>
    <phoneticPr fontId="2" type="noConversion"/>
  </si>
  <si>
    <t>퓨즈 암+수</t>
    <phoneticPr fontId="2" type="noConversion"/>
  </si>
  <si>
    <t>퓨즈 홀더</t>
    <phoneticPr fontId="2" type="noConversion"/>
  </si>
  <si>
    <t>구동부 데이터 전담</t>
    <phoneticPr fontId="2" type="noConversion"/>
  </si>
  <si>
    <t>[Raspberry Pi] 라즈베리파이 피코 W (Raspberry Pi Pico W)</t>
  </si>
  <si>
    <t>화재 및 폭발 방지</t>
    <phoneticPr fontId="2" type="noConversion"/>
  </si>
  <si>
    <t>퓨즈 고정용</t>
    <phoneticPr fontId="2" type="noConversion"/>
  </si>
  <si>
    <t>전해콘덴서 16V 4700UF 12.5X25 CAPACITOR 105도 전해캐패시터 컨덴서 capacitor 콘덴서 캐패시터</t>
  </si>
  <si>
    <t>전해캐패시터</t>
    <phoneticPr fontId="2" type="noConversion"/>
  </si>
  <si>
    <t>전원부 안정화</t>
  </si>
  <si>
    <t>총액</t>
    <phoneticPr fontId="2" type="noConversion"/>
  </si>
  <si>
    <t>비고</t>
    <phoneticPr fontId="2" type="noConversion"/>
  </si>
  <si>
    <t>[Amass] XT60 Connector (암수/세트 XT60-M, XT60-F)</t>
    <phoneticPr fontId="2" type="noConversion"/>
  </si>
  <si>
    <t>[SMG] 자동차 퓨즈홀더 287 AUTO / ATO 전용 방수 (소) [SZH-FU005]</t>
    <phoneticPr fontId="2" type="noConversion"/>
  </si>
  <si>
    <t>정창완, 박준영 팀 부품 구매 내역서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</si>
</sst>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6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3" fontId="0" fillId="3" borderId="1" xfId="0" applyNumberFormat="1" applyFill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right" vertical="center" wrapText="1"/>
    </xf>
    <xf numFmtId="176" fontId="4" fillId="0" borderId="1" xfId="0" applyNumberFormat="1" applyFont="1" applyBorder="1" applyAlignment="1">
      <alignment horizontal="right" vertical="center" wrapText="1"/>
    </xf>
    <xf numFmtId="0" fontId="5" fillId="0" borderId="1" xfId="1" applyFont="1" applyFill="1" applyBorder="1">
      <alignment vertical="center"/>
    </xf>
    <xf numFmtId="0" fontId="5" fillId="0" borderId="1" xfId="1" applyFont="1" applyBorder="1" applyAlignment="1">
      <alignment vertical="center" wrapText="1"/>
    </xf>
    <xf numFmtId="0" fontId="5" fillId="0" borderId="1" xfId="1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5" fillId="0" borderId="3" xfId="1" applyFont="1" applyBorder="1" applyAlignment="1">
      <alignment vertical="center" wrapText="1"/>
    </xf>
    <xf numFmtId="14" fontId="4" fillId="0" borderId="1" xfId="0" applyNumberFormat="1" applyFont="1" applyBorder="1" applyAlignment="1">
      <alignment horizontal="center" vertical="center"/>
    </xf>
    <xf numFmtId="0" fontId="5" fillId="0" borderId="1" xfId="1" applyFont="1" applyBorder="1">
      <alignment vertical="center"/>
    </xf>
    <xf numFmtId="3" fontId="4" fillId="0" borderId="1" xfId="0" applyNumberFormat="1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evicemart.co.kr/goods/view?no=12170196" TargetMode="External"/><Relationship Id="rId13" Type="http://schemas.openxmlformats.org/officeDocument/2006/relationships/hyperlink" Target="https://www.coupang.com/vp/products/1409550975?itemId=25052367420&amp;vendorItemId=85814438688&amp;q=30Q+%EC%82%BC%EC%84%B1&amp;searchId=dbdb3d4d345999&amp;sourceType=search&amp;itemsCount=36&amp;searchRank=0&amp;rank=0&amp;traceId=mmrw3c1f" TargetMode="External"/><Relationship Id="rId3" Type="http://schemas.openxmlformats.org/officeDocument/2006/relationships/hyperlink" Target="https://www.devicemart.co.kr/goods/view?no=15266933" TargetMode="External"/><Relationship Id="rId7" Type="http://schemas.openxmlformats.org/officeDocument/2006/relationships/hyperlink" Target="https://www.devicemart.co.kr/goods/view?no=1078005" TargetMode="External"/><Relationship Id="rId12" Type="http://schemas.openxmlformats.org/officeDocument/2006/relationships/hyperlink" Target="https://www.coupang.com/vp/products/7825502269?vendorItemId=80895648403&amp;sourceType=CART" TargetMode="External"/><Relationship Id="rId2" Type="http://schemas.openxmlformats.org/officeDocument/2006/relationships/hyperlink" Target="https://www.devicemart.co.kr/goods/view?no=1311179" TargetMode="External"/><Relationship Id="rId1" Type="http://schemas.openxmlformats.org/officeDocument/2006/relationships/hyperlink" Target="https://www.devicemart.co.kr/goods/view?no=1149202" TargetMode="External"/><Relationship Id="rId6" Type="http://schemas.openxmlformats.org/officeDocument/2006/relationships/hyperlink" Target="https://www.devicemart.co.kr/goods/view?no=14575953" TargetMode="External"/><Relationship Id="rId11" Type="http://schemas.openxmlformats.org/officeDocument/2006/relationships/hyperlink" Target="https://www.coupang.com/vp/products/8765251193?itemId=26571916336&amp;vendorItemId=93545446680&amp;q=USB+C%ED%83%80%EC%9E%85+%ED%94%BC%EA%B7%B8%ED%85%8C%EC%9D%BC&amp;searchId=7dbb01ae11527177&amp;sourceType=search&amp;itemsCount=36&amp;searchRank=1&amp;rank=1&amp;traceId=mn7dpgay" TargetMode="External"/><Relationship Id="rId5" Type="http://schemas.openxmlformats.org/officeDocument/2006/relationships/hyperlink" Target="https://www.devicemart.co.kr/goods/view?no=13207034" TargetMode="External"/><Relationship Id="rId10" Type="http://schemas.openxmlformats.org/officeDocument/2006/relationships/hyperlink" Target="https://www.coupang.com/vp/products/224707635?itemId=708487409&amp;vendorItemId=74615378336&amp;q=%EB%9D%BC%EC%A6%88%EB%B2%A0%EB%A6%AC%ED%8C%8C%EC%9D%B4+%EB%A7%88%EC%9D%B4%ED%81%AC&amp;searchId=c7b5dadc12192950&amp;sourceType=search&amp;itemsCount=36&amp;searchRank=2&amp;rank=2&amp;traceId=mn7fhjfv" TargetMode="External"/><Relationship Id="rId4" Type="http://schemas.openxmlformats.org/officeDocument/2006/relationships/hyperlink" Target="https://www.devicemart.co.kr/goods/view?no=1321262" TargetMode="External"/><Relationship Id="rId9" Type="http://schemas.openxmlformats.org/officeDocument/2006/relationships/hyperlink" Target="https://www.coupang.com/vp/products/6595374571?vendorItemId=82138231413&amp;sourceType=CART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E2FF-2F77-45F6-9449-0EE0A9EC8FD3}">
  <dimension ref="A1:J16"/>
  <sheetViews>
    <sheetView tabSelected="1" zoomScale="70" zoomScaleNormal="70" workbookViewId="0">
      <selection activeCell="C20" sqref="C20"/>
    </sheetView>
  </sheetViews>
  <sheetFormatPr defaultRowHeight="17" x14ac:dyDescent="0.45"/>
  <cols>
    <col min="1" max="1" width="18.25" customWidth="1"/>
    <col min="2" max="2" width="25.83203125" style="7" customWidth="1"/>
    <col min="3" max="3" width="72.25" customWidth="1"/>
    <col min="5" max="5" width="14.75" customWidth="1"/>
    <col min="9" max="9" width="9" customWidth="1"/>
    <col min="10" max="10" width="16.4140625" customWidth="1"/>
  </cols>
  <sheetData>
    <row r="1" spans="1:10" ht="38.25" customHeight="1" x14ac:dyDescent="0.45">
      <c r="A1" s="25" t="s">
        <v>53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6.899999999999999" customHeight="1" x14ac:dyDescent="0.45">
      <c r="A2" s="2" t="s">
        <v>9</v>
      </c>
      <c r="B2" s="2" t="s">
        <v>29</v>
      </c>
      <c r="C2" s="2" t="s">
        <v>0</v>
      </c>
      <c r="D2" s="2" t="s">
        <v>1</v>
      </c>
      <c r="E2" s="2" t="s">
        <v>50</v>
      </c>
      <c r="F2" s="2" t="s">
        <v>2</v>
      </c>
      <c r="G2" s="2" t="s">
        <v>15</v>
      </c>
      <c r="H2" s="2" t="s">
        <v>16</v>
      </c>
      <c r="I2" s="2" t="s">
        <v>3</v>
      </c>
      <c r="J2" s="2" t="s">
        <v>5</v>
      </c>
    </row>
    <row r="3" spans="1:10" x14ac:dyDescent="0.45">
      <c r="A3" s="13" t="s">
        <v>17</v>
      </c>
      <c r="B3" s="9" t="s">
        <v>30</v>
      </c>
      <c r="C3" s="16" t="s">
        <v>11</v>
      </c>
      <c r="D3" s="9">
        <v>1</v>
      </c>
      <c r="E3" s="9"/>
      <c r="F3" s="12">
        <v>28000</v>
      </c>
      <c r="G3" s="14">
        <v>0.1</v>
      </c>
      <c r="H3" s="15"/>
      <c r="I3" s="12">
        <f t="shared" ref="I3:I15" si="0">D3*F3*(1+G3)+H3</f>
        <v>30800.000000000004</v>
      </c>
      <c r="J3" s="9" t="s">
        <v>6</v>
      </c>
    </row>
    <row r="4" spans="1:10" ht="16" customHeight="1" x14ac:dyDescent="0.45">
      <c r="A4" s="13" t="s">
        <v>18</v>
      </c>
      <c r="B4" s="9" t="s">
        <v>38</v>
      </c>
      <c r="C4" s="17" t="s">
        <v>4</v>
      </c>
      <c r="D4" s="9">
        <v>1</v>
      </c>
      <c r="E4" s="9"/>
      <c r="F4" s="12">
        <v>118000</v>
      </c>
      <c r="G4" s="14">
        <v>0.1</v>
      </c>
      <c r="H4" s="15"/>
      <c r="I4" s="12">
        <f t="shared" si="0"/>
        <v>129800.00000000001</v>
      </c>
      <c r="J4" s="9" t="s">
        <v>7</v>
      </c>
    </row>
    <row r="5" spans="1:10" ht="16.899999999999999" customHeight="1" x14ac:dyDescent="0.45">
      <c r="A5" s="13" t="s">
        <v>19</v>
      </c>
      <c r="B5" s="9" t="s">
        <v>37</v>
      </c>
      <c r="C5" s="17" t="s">
        <v>12</v>
      </c>
      <c r="D5" s="9">
        <v>2</v>
      </c>
      <c r="E5" s="9"/>
      <c r="F5" s="12">
        <v>4300</v>
      </c>
      <c r="G5" s="14">
        <v>0.1</v>
      </c>
      <c r="H5" s="15"/>
      <c r="I5" s="12">
        <f t="shared" si="0"/>
        <v>9460</v>
      </c>
      <c r="J5" s="8" t="s">
        <v>6</v>
      </c>
    </row>
    <row r="6" spans="1:10" ht="16.899999999999999" customHeight="1" x14ac:dyDescent="0.45">
      <c r="A6" s="13" t="s">
        <v>21</v>
      </c>
      <c r="B6" s="9" t="s">
        <v>31</v>
      </c>
      <c r="C6" s="17" t="s">
        <v>10</v>
      </c>
      <c r="D6" s="9">
        <v>6</v>
      </c>
      <c r="E6" s="9"/>
      <c r="F6" s="19">
        <v>800</v>
      </c>
      <c r="G6" s="14">
        <v>0.1</v>
      </c>
      <c r="H6" s="15"/>
      <c r="I6" s="12">
        <f t="shared" si="0"/>
        <v>5280</v>
      </c>
      <c r="J6" s="9" t="s">
        <v>7</v>
      </c>
    </row>
    <row r="7" spans="1:10" ht="16.899999999999999" customHeight="1" x14ac:dyDescent="0.45">
      <c r="A7" s="20" t="s">
        <v>20</v>
      </c>
      <c r="B7" s="9" t="s">
        <v>32</v>
      </c>
      <c r="C7" s="21" t="s">
        <v>8</v>
      </c>
      <c r="D7" s="9">
        <v>3</v>
      </c>
      <c r="E7" s="9"/>
      <c r="F7" s="12">
        <v>20530</v>
      </c>
      <c r="G7" s="14"/>
      <c r="H7" s="15"/>
      <c r="I7" s="12">
        <f t="shared" si="0"/>
        <v>61590</v>
      </c>
      <c r="J7" s="9" t="s">
        <v>13</v>
      </c>
    </row>
    <row r="8" spans="1:10" ht="16.899999999999999" customHeight="1" x14ac:dyDescent="0.45">
      <c r="A8" s="22" t="s">
        <v>22</v>
      </c>
      <c r="B8" s="9" t="s">
        <v>36</v>
      </c>
      <c r="C8" s="23" t="s">
        <v>14</v>
      </c>
      <c r="D8" s="9">
        <v>3</v>
      </c>
      <c r="E8" s="9"/>
      <c r="F8" s="19">
        <v>8830</v>
      </c>
      <c r="G8" s="14"/>
      <c r="H8" s="15"/>
      <c r="I8" s="12">
        <f t="shared" si="0"/>
        <v>26490</v>
      </c>
      <c r="J8" s="9" t="s">
        <v>13</v>
      </c>
    </row>
    <row r="9" spans="1:10" ht="16.899999999999999" customHeight="1" x14ac:dyDescent="0.45">
      <c r="A9" s="8" t="s">
        <v>27</v>
      </c>
      <c r="B9" s="9" t="s">
        <v>33</v>
      </c>
      <c r="C9" s="17" t="s">
        <v>26</v>
      </c>
      <c r="D9" s="8">
        <v>1</v>
      </c>
      <c r="E9" s="8"/>
      <c r="F9" s="5">
        <v>950</v>
      </c>
      <c r="G9" s="10"/>
      <c r="H9" s="11">
        <v>2500</v>
      </c>
      <c r="I9" s="12">
        <f t="shared" si="0"/>
        <v>3450</v>
      </c>
      <c r="J9" s="8" t="s">
        <v>13</v>
      </c>
    </row>
    <row r="10" spans="1:10" ht="16.899999999999999" customHeight="1" x14ac:dyDescent="0.45">
      <c r="A10" s="8" t="s">
        <v>24</v>
      </c>
      <c r="B10" s="9" t="s">
        <v>34</v>
      </c>
      <c r="C10" s="23" t="s">
        <v>25</v>
      </c>
      <c r="D10" s="8">
        <v>1</v>
      </c>
      <c r="E10" s="8"/>
      <c r="F10" s="5">
        <v>28700</v>
      </c>
      <c r="G10" s="10">
        <v>0.1</v>
      </c>
      <c r="H10" s="11"/>
      <c r="I10" s="12">
        <f t="shared" si="0"/>
        <v>31570.000000000004</v>
      </c>
      <c r="J10" s="8" t="s">
        <v>6</v>
      </c>
    </row>
    <row r="11" spans="1:10" ht="16.899999999999999" customHeight="1" x14ac:dyDescent="0.45">
      <c r="A11" s="22" t="s">
        <v>23</v>
      </c>
      <c r="B11" s="9" t="s">
        <v>35</v>
      </c>
      <c r="C11" s="17" t="s">
        <v>28</v>
      </c>
      <c r="D11" s="9">
        <v>1</v>
      </c>
      <c r="E11" s="9"/>
      <c r="F11" s="12">
        <v>10430</v>
      </c>
      <c r="G11" s="14"/>
      <c r="H11" s="15"/>
      <c r="I11" s="12">
        <f t="shared" si="0"/>
        <v>10430</v>
      </c>
      <c r="J11" s="9" t="s">
        <v>13</v>
      </c>
    </row>
    <row r="12" spans="1:10" ht="16.899999999999999" customHeight="1" x14ac:dyDescent="0.45">
      <c r="A12" s="13" t="s">
        <v>39</v>
      </c>
      <c r="B12" s="9" t="s">
        <v>42</v>
      </c>
      <c r="C12" s="18" t="s">
        <v>43</v>
      </c>
      <c r="D12" s="9">
        <v>1</v>
      </c>
      <c r="E12" s="9"/>
      <c r="F12" s="24">
        <v>9800</v>
      </c>
      <c r="G12" s="14">
        <v>0.1</v>
      </c>
      <c r="H12" s="15"/>
      <c r="I12" s="12">
        <f t="shared" si="0"/>
        <v>10780</v>
      </c>
      <c r="J12" s="9" t="s">
        <v>6</v>
      </c>
    </row>
    <row r="13" spans="1:10" ht="16.899999999999999" customHeight="1" x14ac:dyDescent="0.45">
      <c r="A13" s="13" t="s">
        <v>40</v>
      </c>
      <c r="B13" s="9" t="s">
        <v>44</v>
      </c>
      <c r="C13" s="18" t="s">
        <v>51</v>
      </c>
      <c r="D13" s="9">
        <v>3</v>
      </c>
      <c r="E13" s="9"/>
      <c r="F13" s="24">
        <v>1200</v>
      </c>
      <c r="G13" s="14">
        <v>0.1</v>
      </c>
      <c r="H13" s="15"/>
      <c r="I13" s="12">
        <f t="shared" si="0"/>
        <v>3960.0000000000005</v>
      </c>
      <c r="J13" s="9" t="s">
        <v>6</v>
      </c>
    </row>
    <row r="14" spans="1:10" ht="16.899999999999999" customHeight="1" x14ac:dyDescent="0.45">
      <c r="A14" s="13" t="s">
        <v>41</v>
      </c>
      <c r="B14" s="9" t="s">
        <v>45</v>
      </c>
      <c r="C14" s="18" t="s">
        <v>52</v>
      </c>
      <c r="D14" s="9">
        <v>1</v>
      </c>
      <c r="E14" s="9"/>
      <c r="F14" s="24">
        <v>1700</v>
      </c>
      <c r="G14" s="14">
        <v>0.1</v>
      </c>
      <c r="H14" s="15"/>
      <c r="I14" s="12">
        <f t="shared" si="0"/>
        <v>1870.0000000000002</v>
      </c>
      <c r="J14" s="9" t="s">
        <v>6</v>
      </c>
    </row>
    <row r="15" spans="1:10" ht="16.899999999999999" customHeight="1" x14ac:dyDescent="0.45">
      <c r="A15" s="13" t="s">
        <v>47</v>
      </c>
      <c r="B15" s="8" t="s">
        <v>48</v>
      </c>
      <c r="C15" s="17" t="s">
        <v>46</v>
      </c>
      <c r="D15" s="9">
        <v>4</v>
      </c>
      <c r="E15" s="9"/>
      <c r="F15" s="24">
        <v>600</v>
      </c>
      <c r="G15" s="14"/>
      <c r="H15" s="15">
        <v>3000</v>
      </c>
      <c r="I15" s="12">
        <f t="shared" si="0"/>
        <v>5400</v>
      </c>
      <c r="J15" s="9" t="s">
        <v>13</v>
      </c>
    </row>
    <row r="16" spans="1:10" ht="16.899999999999999" customHeight="1" x14ac:dyDescent="0.45">
      <c r="A16" s="26" t="s">
        <v>49</v>
      </c>
      <c r="B16" s="27"/>
      <c r="C16" s="27"/>
      <c r="D16" s="27"/>
      <c r="E16" s="28"/>
      <c r="F16" s="6">
        <f>SUM(F3:F11)</f>
        <v>220540</v>
      </c>
      <c r="G16" s="3"/>
      <c r="H16" s="3"/>
      <c r="I16" s="4">
        <f>SUM(I3:I15)</f>
        <v>330880</v>
      </c>
      <c r="J16" s="1"/>
    </row>
  </sheetData>
  <mergeCells count="2">
    <mergeCell ref="A1:J1"/>
    <mergeCell ref="A16:E16"/>
  </mergeCells>
  <phoneticPr fontId="2" type="noConversion"/>
  <hyperlinks>
    <hyperlink ref="C4" r:id="rId1" display="https://www.devicemart.co.kr/goods/view?no=1149202" xr:uid="{3523660D-D630-49D4-8946-CDB2E36F986F}"/>
    <hyperlink ref="C6" r:id="rId2" xr:uid="{5AE3AB75-EF4B-41EF-9321-13C0F80A7CB3}"/>
    <hyperlink ref="C3" r:id="rId3" xr:uid="{E1040CAF-DF34-4DCE-A88C-47D4A99C2039}"/>
    <hyperlink ref="C5" r:id="rId4" xr:uid="{ED490093-759F-49B5-A140-9AA7720566B2}"/>
    <hyperlink ref="C10" r:id="rId5" xr:uid="{BE713F53-400B-4F6E-9AFE-2054F7993CB7}"/>
    <hyperlink ref="C12" r:id="rId6" xr:uid="{F09AAADD-C0E0-4C40-ADF9-06DA04DCE4C8}"/>
    <hyperlink ref="C13" r:id="rId7" xr:uid="{C5DDC1E2-F860-48AA-AD35-48314F963CA9}"/>
    <hyperlink ref="C14" r:id="rId8" xr:uid="{0B16945C-E596-40B8-B33F-2BB996FF4224}"/>
    <hyperlink ref="C15" r:id="rId9" xr:uid="{4A0E4882-BC00-4144-A7D5-85459959513C}"/>
    <hyperlink ref="C11" r:id="rId10" xr:uid="{DB8277C3-7DCC-41C8-8354-0F8F051142F9}"/>
    <hyperlink ref="C9" r:id="rId11" xr:uid="{6FF87354-2787-4CD9-886C-241BA868DF8E}"/>
    <hyperlink ref="C8" r:id="rId12" xr:uid="{87755E1E-76CA-4432-B6BB-C6BB8CF13E37}"/>
    <hyperlink ref="C7" r:id="rId13" display="https://www.coupang.com/vp/products/1409550975?itemId=25052367420&amp;vendorItemId=85814438688&amp;q=30Q+%EC%82%BC%EC%84%B1&amp;searchId=dbdb3d4d345999&amp;sourceType=search&amp;itemsCount=36&amp;searchRank=0&amp;rank=0&amp;traceId=mmrw3c1f" xr:uid="{07BF3B27-9236-4D74-908A-B71999168BD7}"/>
  </hyperlinks>
  <pageMargins left="0.7" right="0.7" top="0.75" bottom="0.75" header="0.3" footer="0.3"/>
  <pageSetup paperSize="8" orientation="landscape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정창완</cp:lastModifiedBy>
  <cp:lastPrinted>2026-03-18T08:37:18Z</cp:lastPrinted>
  <dcterms:created xsi:type="dcterms:W3CDTF">2026-03-14T08:24:42Z</dcterms:created>
  <dcterms:modified xsi:type="dcterms:W3CDTF">2026-07-13T03:37:15Z</dcterms:modified>
</cp:coreProperties>
</file>